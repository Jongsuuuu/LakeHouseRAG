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 총괄 요약" sheetId="1" state="visible" r:id="rId1"/>
    <sheet xmlns:r="http://schemas.openxmlformats.org/officeDocument/2006/relationships" name="국내 매출 상세" sheetId="2" state="visible" r:id="rId2"/>
    <sheet xmlns:r="http://schemas.openxmlformats.org/officeDocument/2006/relationships" name="해외 매출 상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맑은 고딕"/>
      <b val="1"/>
      <color rgb="001A365D"/>
      <sz val="16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</fonts>
  <fills count="5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top style="thin">
        <color rgb="004A5568"/>
      </top>
      <bottom style="double">
        <color rgb="004A556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pivotButton="0" quotePrefix="0" xfId="0"/>
    <xf numFmtId="0" fontId="3" fillId="3" borderId="1" applyAlignment="1" pivotButton="0" quotePrefix="0" xfId="0">
      <alignment horizontal="center" vertical="center"/>
    </xf>
    <xf numFmtId="3" fontId="3" fillId="3" borderId="1" pivotButton="0" quotePrefix="0" xfId="0"/>
    <xf numFmtId="0" fontId="4" fillId="4" borderId="2" applyAlignment="1" pivotButton="0" quotePrefix="0" xfId="0">
      <alignment horizontal="center" vertical="center"/>
    </xf>
    <xf numFmtId="3" fontId="4" fillId="4" borderId="2" pivotButton="0" quotePrefix="0" xfId="0"/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4" borderId="2" pivotButton="0" quotePrefix="0" xfId="0"/>
    <xf numFmtId="164" fontId="3" fillId="0" borderId="1" pivotButton="0" quotePrefix="0" xfId="0"/>
    <xf numFmtId="164" fontId="3" fillId="3" borderId="1" pivotButton="0" quotePrefix="0" xfId="0"/>
    <xf numFmtId="164" fontId="4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2025년 월별 매출 및 영업이익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'연간 총괄 요약'!D3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'연간 총괄 요약'!$A$4:$A$15</f>
            </numRef>
          </cat>
          <val>
            <numRef>
              <f>'연간 총괄 요약'!$D$4:$D$15</f>
            </numRef>
          </val>
        </ser>
        <ser>
          <idx val="1"/>
          <order val="1"/>
          <tx>
            <strRef>
              <f>'연간 총괄 요약'!F3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'연간 총괄 요약'!$A$4:$A$15</f>
            </numRef>
          </cat>
          <val>
            <numRef>
              <f>'연간 총괄 요약'!$F$4:$F$15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월별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금액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35" customHeight="1">
      <c r="A1" s="1" t="inlineStr">
        <is>
          <t>2025년도 월별 매출 및 비용 종합 현황</t>
        </is>
      </c>
    </row>
    <row r="2"/>
    <row r="3" ht="26" customHeight="1">
      <c r="A3" s="2" t="inlineStr">
        <is>
          <t>월별</t>
        </is>
      </c>
      <c r="B3" s="2" t="inlineStr">
        <is>
          <t>국내 매출 (원)</t>
        </is>
      </c>
      <c r="C3" s="2" t="inlineStr">
        <is>
          <t>해외 수출 (원)</t>
        </is>
      </c>
      <c r="D3" s="2" t="inlineStr">
        <is>
          <t>총 매출액 (원)</t>
        </is>
      </c>
      <c r="E3" s="2" t="inlineStr">
        <is>
          <t>영업 비용 (원)</t>
        </is>
      </c>
      <c r="F3" s="2" t="inlineStr">
        <is>
          <t>영업 이익 (원)</t>
        </is>
      </c>
    </row>
    <row r="4" ht="20" customHeight="1">
      <c r="A4" s="3" t="inlineStr">
        <is>
          <t>1월</t>
        </is>
      </c>
      <c r="B4" s="4" t="n">
        <v>120000000</v>
      </c>
      <c r="C4" s="4" t="n">
        <v>45000000</v>
      </c>
      <c r="D4" s="4">
        <f>B4+C4</f>
        <v/>
      </c>
      <c r="E4" s="4" t="n">
        <v>115000000</v>
      </c>
      <c r="F4" s="4">
        <f>D4-E4</f>
        <v/>
      </c>
    </row>
    <row r="5" ht="20" customHeight="1">
      <c r="A5" s="5" t="inlineStr">
        <is>
          <t>2월</t>
        </is>
      </c>
      <c r="B5" s="6" t="n">
        <v>135000000</v>
      </c>
      <c r="C5" s="6" t="n">
        <v>50000000</v>
      </c>
      <c r="D5" s="6">
        <f>B5+C5</f>
        <v/>
      </c>
      <c r="E5" s="6" t="n">
        <v>120000000</v>
      </c>
      <c r="F5" s="6">
        <f>D5-E5</f>
        <v/>
      </c>
    </row>
    <row r="6" ht="20" customHeight="1">
      <c r="A6" s="3" t="inlineStr">
        <is>
          <t>3월</t>
        </is>
      </c>
      <c r="B6" s="4" t="n">
        <v>150000000</v>
      </c>
      <c r="C6" s="4" t="n">
        <v>62000000</v>
      </c>
      <c r="D6" s="4">
        <f>B6+C6</f>
        <v/>
      </c>
      <c r="E6" s="4" t="n">
        <v>130000000</v>
      </c>
      <c r="F6" s="4">
        <f>D6-E6</f>
        <v/>
      </c>
    </row>
    <row r="7" ht="20" customHeight="1">
      <c r="A7" s="5" t="inlineStr">
        <is>
          <t>4월</t>
        </is>
      </c>
      <c r="B7" s="6" t="n">
        <v>142000000</v>
      </c>
      <c r="C7" s="6" t="n">
        <v>58000000</v>
      </c>
      <c r="D7" s="6">
        <f>B7+C7</f>
        <v/>
      </c>
      <c r="E7" s="6" t="n">
        <v>125000000</v>
      </c>
      <c r="F7" s="6">
        <f>D7-E7</f>
        <v/>
      </c>
    </row>
    <row r="8" ht="20" customHeight="1">
      <c r="A8" s="3" t="inlineStr">
        <is>
          <t>5월</t>
        </is>
      </c>
      <c r="B8" s="4" t="n">
        <v>165000000</v>
      </c>
      <c r="C8" s="4" t="n">
        <v>70000000</v>
      </c>
      <c r="D8" s="4">
        <f>B8+C8</f>
        <v/>
      </c>
      <c r="E8" s="4" t="n">
        <v>140000000</v>
      </c>
      <c r="F8" s="4">
        <f>D8-E8</f>
        <v/>
      </c>
    </row>
    <row r="9" ht="20" customHeight="1">
      <c r="A9" s="5" t="inlineStr">
        <is>
          <t>6월</t>
        </is>
      </c>
      <c r="B9" s="6" t="n">
        <v>180000000</v>
      </c>
      <c r="C9" s="6" t="n">
        <v>85000000</v>
      </c>
      <c r="D9" s="6">
        <f>B9+C9</f>
        <v/>
      </c>
      <c r="E9" s="6" t="n">
        <v>150000000</v>
      </c>
      <c r="F9" s="6">
        <f>D9-E9</f>
        <v/>
      </c>
    </row>
    <row r="10" ht="20" customHeight="1">
      <c r="A10" s="3" t="inlineStr">
        <is>
          <t>7월</t>
        </is>
      </c>
      <c r="B10" s="4" t="n">
        <v>175000000</v>
      </c>
      <c r="C10" s="4" t="n">
        <v>80000000</v>
      </c>
      <c r="D10" s="4">
        <f>B10+C10</f>
        <v/>
      </c>
      <c r="E10" s="4" t="n">
        <v>148000000</v>
      </c>
      <c r="F10" s="4">
        <f>D10-E10</f>
        <v/>
      </c>
    </row>
    <row r="11" ht="20" customHeight="1">
      <c r="A11" s="5" t="inlineStr">
        <is>
          <t>8월</t>
        </is>
      </c>
      <c r="B11" s="6" t="n">
        <v>160000000</v>
      </c>
      <c r="C11" s="6" t="n">
        <v>75000000</v>
      </c>
      <c r="D11" s="6">
        <f>B11+C11</f>
        <v/>
      </c>
      <c r="E11" s="6" t="n">
        <v>142000000</v>
      </c>
      <c r="F11" s="6">
        <f>D11-E11</f>
        <v/>
      </c>
    </row>
    <row r="12" ht="20" customHeight="1">
      <c r="A12" s="3" t="inlineStr">
        <is>
          <t>9월</t>
        </is>
      </c>
      <c r="B12" s="4" t="n">
        <v>195000000</v>
      </c>
      <c r="C12" s="4" t="n">
        <v>92000000</v>
      </c>
      <c r="D12" s="4">
        <f>B12+C12</f>
        <v/>
      </c>
      <c r="E12" s="4" t="n">
        <v>160000000</v>
      </c>
      <c r="F12" s="4">
        <f>D12-E12</f>
        <v/>
      </c>
    </row>
    <row r="13" ht="20" customHeight="1">
      <c r="A13" s="5" t="inlineStr">
        <is>
          <t>10월</t>
        </is>
      </c>
      <c r="B13" s="6" t="n">
        <v>210000000</v>
      </c>
      <c r="C13" s="6" t="n">
        <v>105000000</v>
      </c>
      <c r="D13" s="6">
        <f>B13+C13</f>
        <v/>
      </c>
      <c r="E13" s="6" t="n">
        <v>175000000</v>
      </c>
      <c r="F13" s="6">
        <f>D13-E13</f>
        <v/>
      </c>
    </row>
    <row r="14" ht="20" customHeight="1">
      <c r="A14" s="3" t="inlineStr">
        <is>
          <t>11월</t>
        </is>
      </c>
      <c r="B14" s="4" t="n">
        <v>225000000</v>
      </c>
      <c r="C14" s="4" t="n">
        <v>110000000</v>
      </c>
      <c r="D14" s="4">
        <f>B14+C14</f>
        <v/>
      </c>
      <c r="E14" s="4" t="n">
        <v>180000000</v>
      </c>
      <c r="F14" s="4">
        <f>D14-E14</f>
        <v/>
      </c>
    </row>
    <row r="15" ht="20" customHeight="1">
      <c r="A15" s="5" t="inlineStr">
        <is>
          <t>12월</t>
        </is>
      </c>
      <c r="B15" s="6" t="n">
        <v>250000000</v>
      </c>
      <c r="C15" s="6" t="n">
        <v>130000000</v>
      </c>
      <c r="D15" s="6">
        <f>B15+C15</f>
        <v/>
      </c>
      <c r="E15" s="6" t="n">
        <v>200000000</v>
      </c>
      <c r="F15" s="6">
        <f>D15-E15</f>
        <v/>
      </c>
    </row>
    <row r="16" ht="24" customHeight="1">
      <c r="A16" s="7" t="inlineStr">
        <is>
          <t>합 계</t>
        </is>
      </c>
      <c r="B16" s="8">
        <f>SUM(B4:B15)</f>
        <v/>
      </c>
      <c r="C16" s="8">
        <f>SUM(C4:C15)</f>
        <v/>
      </c>
      <c r="D16" s="8">
        <f>SUM(D4:D15)</f>
        <v/>
      </c>
      <c r="E16" s="8">
        <f>SUM(E4:E15)</f>
        <v/>
      </c>
      <c r="F16" s="8">
        <f>SUM(F4:F15)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5" customHeight="1">
      <c r="A1" s="1" t="inlineStr">
        <is>
          <t>국내 사업부 건별 매출 상세 내역</t>
        </is>
      </c>
    </row>
    <row r="2"/>
    <row r="3" ht="26" customHeight="1">
      <c r="A3" s="2" t="inlineStr">
        <is>
          <t>주문번호</t>
        </is>
      </c>
      <c r="B3" s="2" t="inlineStr">
        <is>
          <t>고객사</t>
        </is>
      </c>
      <c r="C3" s="2" t="inlineStr">
        <is>
          <t>제품군</t>
        </is>
      </c>
      <c r="D3" s="2" t="inlineStr">
        <is>
          <t>수량</t>
        </is>
      </c>
      <c r="E3" s="2" t="inlineStr">
        <is>
          <t>단가 (원)</t>
        </is>
      </c>
      <c r="F3" s="2" t="inlineStr">
        <is>
          <t>총 매출액 (원)</t>
        </is>
      </c>
      <c r="G3" s="2" t="inlineStr">
        <is>
          <t>담당자</t>
        </is>
      </c>
    </row>
    <row r="4" ht="20" customHeight="1">
      <c r="A4" s="3" t="inlineStr">
        <is>
          <t>DOM-2025-001</t>
        </is>
      </c>
      <c r="B4" s="9" t="inlineStr">
        <is>
          <t>삼성전자</t>
        </is>
      </c>
      <c r="C4" s="9" t="inlineStr">
        <is>
          <t>엔터프라이즈 라이선스</t>
        </is>
      </c>
      <c r="D4" s="4" t="n">
        <v>2</v>
      </c>
      <c r="E4" s="4" t="n">
        <v>25000000</v>
      </c>
      <c r="F4" s="4">
        <f>D4*E4</f>
        <v/>
      </c>
      <c r="G4" s="3" t="inlineStr">
        <is>
          <t>김철수</t>
        </is>
      </c>
    </row>
    <row r="5" ht="20" customHeight="1">
      <c r="A5" s="5" t="inlineStr">
        <is>
          <t>DOM-2025-002</t>
        </is>
      </c>
      <c r="B5" s="10" t="inlineStr">
        <is>
          <t>LG전자</t>
        </is>
      </c>
      <c r="C5" s="10" t="inlineStr">
        <is>
          <t>클라우드 SaaS</t>
        </is>
      </c>
      <c r="D5" s="6" t="n">
        <v>12</v>
      </c>
      <c r="E5" s="6" t="n">
        <v>3500000</v>
      </c>
      <c r="F5" s="6">
        <f>D5*E5</f>
        <v/>
      </c>
      <c r="G5" s="5" t="inlineStr">
        <is>
          <t>이영희</t>
        </is>
      </c>
    </row>
    <row r="6" ht="20" customHeight="1">
      <c r="A6" s="3" t="inlineStr">
        <is>
          <t>DOM-2025-003</t>
        </is>
      </c>
      <c r="B6" s="9" t="inlineStr">
        <is>
          <t>SK하이닉스</t>
        </is>
      </c>
      <c r="C6" s="9" t="inlineStr">
        <is>
          <t>유지보수 컨설팅</t>
        </is>
      </c>
      <c r="D6" s="4" t="n">
        <v>1</v>
      </c>
      <c r="E6" s="4" t="n">
        <v>12000000</v>
      </c>
      <c r="F6" s="4">
        <f>D6*E6</f>
        <v/>
      </c>
      <c r="G6" s="3" t="inlineStr">
        <is>
          <t>박민준</t>
        </is>
      </c>
    </row>
    <row r="7" ht="20" customHeight="1">
      <c r="A7" s="5" t="inlineStr">
        <is>
          <t>DOM-2025-004</t>
        </is>
      </c>
      <c r="B7" s="10" t="inlineStr">
        <is>
          <t>현대자동차</t>
        </is>
      </c>
      <c r="C7" s="10" t="inlineStr">
        <is>
          <t>엔터프라이즈 라이선스</t>
        </is>
      </c>
      <c r="D7" s="6" t="n">
        <v>3</v>
      </c>
      <c r="E7" s="6" t="n">
        <v>25000000</v>
      </c>
      <c r="F7" s="6">
        <f>D7*E7</f>
        <v/>
      </c>
      <c r="G7" s="5" t="inlineStr">
        <is>
          <t>최지우</t>
        </is>
      </c>
    </row>
    <row r="8" ht="20" customHeight="1">
      <c r="A8" s="3" t="inlineStr">
        <is>
          <t>DOM-2025-005</t>
        </is>
      </c>
      <c r="B8" s="9" t="inlineStr">
        <is>
          <t>네이버</t>
        </is>
      </c>
      <c r="C8" s="9" t="inlineStr">
        <is>
          <t>클라우드 SaaS</t>
        </is>
      </c>
      <c r="D8" s="4" t="n">
        <v>24</v>
      </c>
      <c r="E8" s="4" t="n">
        <v>3500000</v>
      </c>
      <c r="F8" s="4">
        <f>D8*E8</f>
        <v/>
      </c>
      <c r="G8" s="3" t="inlineStr">
        <is>
          <t>정팀장</t>
        </is>
      </c>
    </row>
    <row r="9" ht="20" customHeight="1">
      <c r="A9" s="5" t="inlineStr">
        <is>
          <t>DOM-2025-006</t>
        </is>
      </c>
      <c r="B9" s="10" t="inlineStr">
        <is>
          <t>카카오</t>
        </is>
      </c>
      <c r="C9" s="10" t="inlineStr">
        <is>
          <t>유지보수 컨설팅</t>
        </is>
      </c>
      <c r="D9" s="6" t="n">
        <v>2</v>
      </c>
      <c r="E9" s="6" t="n">
        <v>12000000</v>
      </c>
      <c r="F9" s="6">
        <f>D9*E9</f>
        <v/>
      </c>
      <c r="G9" s="5" t="inlineStr">
        <is>
          <t>김철수</t>
        </is>
      </c>
    </row>
    <row r="10" ht="20" customHeight="1">
      <c r="A10" s="3" t="inlineStr">
        <is>
          <t>DOM-2025-007</t>
        </is>
      </c>
      <c r="B10" s="9" t="inlineStr">
        <is>
          <t>쿠팡</t>
        </is>
      </c>
      <c r="C10" s="9" t="inlineStr">
        <is>
          <t>클라우드 SaaS</t>
        </is>
      </c>
      <c r="D10" s="4" t="n">
        <v>15</v>
      </c>
      <c r="E10" s="4" t="n">
        <v>3500000</v>
      </c>
      <c r="F10" s="4">
        <f>D10*E10</f>
        <v/>
      </c>
      <c r="G10" s="3" t="inlineStr">
        <is>
          <t>이영희</t>
        </is>
      </c>
    </row>
    <row r="11" ht="20" customHeight="1">
      <c r="A11" s="5" t="inlineStr">
        <is>
          <t>DOM-2025-008</t>
        </is>
      </c>
      <c r="B11" s="10" t="inlineStr">
        <is>
          <t>배달의민족</t>
        </is>
      </c>
      <c r="C11" s="10" t="inlineStr">
        <is>
          <t>엔터프라이즈 라이선스</t>
        </is>
      </c>
      <c r="D11" s="6" t="n">
        <v>1</v>
      </c>
      <c r="E11" s="6" t="n">
        <v>25000000</v>
      </c>
      <c r="F11" s="6">
        <f>D11*E11</f>
        <v/>
      </c>
      <c r="G11" s="5" t="inlineStr">
        <is>
          <t>박민준</t>
        </is>
      </c>
    </row>
    <row r="12" ht="20" customHeight="1">
      <c r="A12" s="3" t="inlineStr">
        <is>
          <t>DOM-2025-009</t>
        </is>
      </c>
      <c r="B12" s="9" t="inlineStr">
        <is>
          <t>당근마켓</t>
        </is>
      </c>
      <c r="C12" s="9" t="inlineStr">
        <is>
          <t>유지보수 컨설팅</t>
        </is>
      </c>
      <c r="D12" s="4" t="n">
        <v>4</v>
      </c>
      <c r="E12" s="4" t="n">
        <v>6000000</v>
      </c>
      <c r="F12" s="4">
        <f>D12*E12</f>
        <v/>
      </c>
      <c r="G12" s="3" t="inlineStr">
        <is>
          <t>최지우</t>
        </is>
      </c>
    </row>
    <row r="13" ht="20" customHeight="1">
      <c r="A13" s="5" t="inlineStr">
        <is>
          <t>DOM-2025-010</t>
        </is>
      </c>
      <c r="B13" s="10" t="inlineStr">
        <is>
          <t>토스</t>
        </is>
      </c>
      <c r="C13" s="10" t="inlineStr">
        <is>
          <t>클라우드 SaaS</t>
        </is>
      </c>
      <c r="D13" s="6" t="n">
        <v>30</v>
      </c>
      <c r="E13" s="6" t="n">
        <v>3500000</v>
      </c>
      <c r="F13" s="6">
        <f>D13*E13</f>
        <v/>
      </c>
      <c r="G13" s="5" t="inlineStr">
        <is>
          <t>정팀장</t>
        </is>
      </c>
    </row>
    <row r="14" ht="20" customHeight="1">
      <c r="A14" s="3" t="inlineStr">
        <is>
          <t>DOM-2025-011</t>
        </is>
      </c>
      <c r="B14" s="9" t="inlineStr">
        <is>
          <t>직방</t>
        </is>
      </c>
      <c r="C14" s="9" t="inlineStr">
        <is>
          <t>엔터프라이즈 라이선스</t>
        </is>
      </c>
      <c r="D14" s="4" t="n">
        <v>2</v>
      </c>
      <c r="E14" s="4" t="n">
        <v>25000000</v>
      </c>
      <c r="F14" s="4">
        <f>D14*E14</f>
        <v/>
      </c>
      <c r="G14" s="3" t="inlineStr">
        <is>
          <t>김철수</t>
        </is>
      </c>
    </row>
    <row r="15" ht="20" customHeight="1">
      <c r="A15" s="5" t="inlineStr">
        <is>
          <t>DOM-2025-012</t>
        </is>
      </c>
      <c r="B15" s="10" t="inlineStr">
        <is>
          <t>야놀자</t>
        </is>
      </c>
      <c r="C15" s="10" t="inlineStr">
        <is>
          <t>클라우드 SaaS</t>
        </is>
      </c>
      <c r="D15" s="6" t="n">
        <v>8</v>
      </c>
      <c r="E15" s="6" t="n">
        <v>3500000</v>
      </c>
      <c r="F15" s="6">
        <f>D15*E15</f>
        <v/>
      </c>
      <c r="G15" s="5" t="inlineStr">
        <is>
          <t>이영희</t>
        </is>
      </c>
    </row>
    <row r="16" ht="20" customHeight="1">
      <c r="A16" s="3" t="inlineStr">
        <is>
          <t>DOM-2025-013</t>
        </is>
      </c>
      <c r="B16" s="9" t="inlineStr">
        <is>
          <t>무신사</t>
        </is>
      </c>
      <c r="C16" s="9" t="inlineStr">
        <is>
          <t>유지보수 컨설팅</t>
        </is>
      </c>
      <c r="D16" s="4" t="n">
        <v>3</v>
      </c>
      <c r="E16" s="4" t="n">
        <v>6000000</v>
      </c>
      <c r="F16" s="4">
        <f>D16*E16</f>
        <v/>
      </c>
      <c r="G16" s="3" t="inlineStr">
        <is>
          <t>박민준</t>
        </is>
      </c>
    </row>
    <row r="17" ht="20" customHeight="1">
      <c r="A17" s="5" t="inlineStr">
        <is>
          <t>DOM-2025-014</t>
        </is>
      </c>
      <c r="B17" s="10" t="inlineStr">
        <is>
          <t>컬리</t>
        </is>
      </c>
      <c r="C17" s="10" t="inlineStr">
        <is>
          <t>클라우드 SaaS</t>
        </is>
      </c>
      <c r="D17" s="6" t="n">
        <v>20</v>
      </c>
      <c r="E17" s="6" t="n">
        <v>3500000</v>
      </c>
      <c r="F17" s="6">
        <f>D17*E17</f>
        <v/>
      </c>
      <c r="G17" s="5" t="inlineStr">
        <is>
          <t>최지우</t>
        </is>
      </c>
    </row>
    <row r="18" ht="20" customHeight="1">
      <c r="A18" s="3" t="inlineStr">
        <is>
          <t>DOM-2025-015</t>
        </is>
      </c>
      <c r="B18" s="9" t="inlineStr">
        <is>
          <t>당근마켓</t>
        </is>
      </c>
      <c r="C18" s="9" t="inlineStr">
        <is>
          <t>엔터프라이즈 라이선스</t>
        </is>
      </c>
      <c r="D18" s="4" t="n">
        <v>1</v>
      </c>
      <c r="E18" s="4" t="n">
        <v>25000000</v>
      </c>
      <c r="F18" s="4">
        <f>D18*E18</f>
        <v/>
      </c>
      <c r="G18" s="3" t="inlineStr">
        <is>
          <t>정팀장</t>
        </is>
      </c>
    </row>
    <row r="19" ht="24" customHeight="1">
      <c r="A19" s="7" t="inlineStr">
        <is>
          <t>합 계</t>
        </is>
      </c>
      <c r="B19" s="11" t="n"/>
      <c r="C19" s="11" t="n"/>
      <c r="D19" s="8">
        <f>SUM(D4:D18)</f>
        <v/>
      </c>
      <c r="E19" s="11" t="n"/>
      <c r="F19" s="8">
        <f>SUM(F4:F18)</f>
        <v/>
      </c>
      <c r="G19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</cols>
  <sheetData>
    <row r="1" ht="35" customHeight="1">
      <c r="A1" s="1" t="inlineStr">
        <is>
          <t>해외 사업부 글로벌 계약 및 환산 실적</t>
        </is>
      </c>
    </row>
    <row r="2"/>
    <row r="3" ht="26" customHeight="1">
      <c r="A3" s="2" t="inlineStr">
        <is>
          <t>주문번호</t>
        </is>
      </c>
      <c r="B3" s="2" t="inlineStr">
        <is>
          <t>국가</t>
        </is>
      </c>
      <c r="C3" s="2" t="inlineStr">
        <is>
          <t>고객사</t>
        </is>
      </c>
      <c r="D3" s="2" t="inlineStr">
        <is>
          <t>제품군</t>
        </is>
      </c>
      <c r="E3" s="2" t="inlineStr">
        <is>
          <t>계약금액 ($)</t>
        </is>
      </c>
      <c r="F3" s="2" t="inlineStr">
        <is>
          <t>환율 (원/$)</t>
        </is>
      </c>
      <c r="G3" s="2" t="inlineStr">
        <is>
          <t>원화 환산금액 (원)</t>
        </is>
      </c>
    </row>
    <row r="4" ht="20" customHeight="1">
      <c r="A4" s="3" t="inlineStr">
        <is>
          <t>OV-2025-001</t>
        </is>
      </c>
      <c r="B4" s="3" t="inlineStr">
        <is>
          <t>미국</t>
        </is>
      </c>
      <c r="C4" s="9" t="inlineStr">
        <is>
          <t>Alpha Tech</t>
        </is>
      </c>
      <c r="D4" s="9" t="inlineStr">
        <is>
          <t>SaaS Premium</t>
        </is>
      </c>
      <c r="E4" s="12" t="n">
        <v>45000</v>
      </c>
      <c r="F4" s="4" t="n">
        <v>1340</v>
      </c>
      <c r="G4" s="4">
        <f>E4*F4</f>
        <v/>
      </c>
    </row>
    <row r="5" ht="20" customHeight="1">
      <c r="A5" s="5" t="inlineStr">
        <is>
          <t>OV-2025-002</t>
        </is>
      </c>
      <c r="B5" s="5" t="inlineStr">
        <is>
          <t>일본</t>
        </is>
      </c>
      <c r="C5" s="10" t="inlineStr">
        <is>
          <t>Kyoto Systems</t>
        </is>
      </c>
      <c r="D5" s="10" t="inlineStr">
        <is>
          <t>Custom Engine</t>
        </is>
      </c>
      <c r="E5" s="13" t="n">
        <v>32000</v>
      </c>
      <c r="F5" s="6" t="n">
        <v>1342</v>
      </c>
      <c r="G5" s="6">
        <f>E5*F5</f>
        <v/>
      </c>
    </row>
    <row r="6" ht="20" customHeight="1">
      <c r="A6" s="3" t="inlineStr">
        <is>
          <t>OV-2025-003</t>
        </is>
      </c>
      <c r="B6" s="3" t="inlineStr">
        <is>
          <t>싱가포르</t>
        </is>
      </c>
      <c r="C6" s="9" t="inlineStr">
        <is>
          <t>Merlion Soft</t>
        </is>
      </c>
      <c r="D6" s="9" t="inlineStr">
        <is>
          <t>SaaS Standard</t>
        </is>
      </c>
      <c r="E6" s="12" t="n">
        <v>15000</v>
      </c>
      <c r="F6" s="4" t="n">
        <v>1345</v>
      </c>
      <c r="G6" s="4">
        <f>E6*F6</f>
        <v/>
      </c>
    </row>
    <row r="7" ht="20" customHeight="1">
      <c r="A7" s="5" t="inlineStr">
        <is>
          <t>OV-2025-004</t>
        </is>
      </c>
      <c r="B7" s="5" t="inlineStr">
        <is>
          <t>미국</t>
        </is>
      </c>
      <c r="C7" s="10" t="inlineStr">
        <is>
          <t>Delta Corp</t>
        </is>
      </c>
      <c r="D7" s="10" t="inlineStr">
        <is>
          <t>SaaS Premium</t>
        </is>
      </c>
      <c r="E7" s="13" t="n">
        <v>55000</v>
      </c>
      <c r="F7" s="6" t="n">
        <v>1350</v>
      </c>
      <c r="G7" s="6">
        <f>E7*F7</f>
        <v/>
      </c>
    </row>
    <row r="8" ht="20" customHeight="1">
      <c r="A8" s="3" t="inlineStr">
        <is>
          <t>OV-2025-005</t>
        </is>
      </c>
      <c r="B8" s="3" t="inlineStr">
        <is>
          <t>독일</t>
        </is>
      </c>
      <c r="C8" s="9" t="inlineStr">
        <is>
          <t>Berlin Auto</t>
        </is>
      </c>
      <c r="D8" s="9" t="inlineStr">
        <is>
          <t>Custom Engine</t>
        </is>
      </c>
      <c r="E8" s="12" t="n">
        <v>78000</v>
      </c>
      <c r="F8" s="4" t="n">
        <v>1348</v>
      </c>
      <c r="G8" s="4">
        <f>E8*F8</f>
        <v/>
      </c>
    </row>
    <row r="9" ht="20" customHeight="1">
      <c r="A9" s="5" t="inlineStr">
        <is>
          <t>OV-2025-006</t>
        </is>
      </c>
      <c r="B9" s="5" t="inlineStr">
        <is>
          <t>베트남</t>
        </is>
      </c>
      <c r="C9" s="10" t="inlineStr">
        <is>
          <t>Vina Cloud</t>
        </is>
      </c>
      <c r="D9" s="10" t="inlineStr">
        <is>
          <t>SaaS Standard</t>
        </is>
      </c>
      <c r="E9" s="13" t="n">
        <v>12000</v>
      </c>
      <c r="F9" s="6" t="n">
        <v>1352</v>
      </c>
      <c r="G9" s="6">
        <f>E9*F9</f>
        <v/>
      </c>
    </row>
    <row r="10" ht="20" customHeight="1">
      <c r="A10" s="3" t="inlineStr">
        <is>
          <t>OV-2025-007</t>
        </is>
      </c>
      <c r="B10" s="3" t="inlineStr">
        <is>
          <t>일본</t>
        </is>
      </c>
      <c r="C10" s="9" t="inlineStr">
        <is>
          <t>Tokyo Elec</t>
        </is>
      </c>
      <c r="D10" s="9" t="inlineStr">
        <is>
          <t>Custom Engine</t>
        </is>
      </c>
      <c r="E10" s="12" t="n">
        <v>41000</v>
      </c>
      <c r="F10" s="4" t="n">
        <v>1355</v>
      </c>
      <c r="G10" s="4">
        <f>E10*F10</f>
        <v/>
      </c>
    </row>
    <row r="11" ht="20" customHeight="1">
      <c r="A11" s="5" t="inlineStr">
        <is>
          <t>OV-2025-008</t>
        </is>
      </c>
      <c r="B11" s="5" t="inlineStr">
        <is>
          <t>미국</t>
        </is>
      </c>
      <c r="C11" s="10" t="inlineStr">
        <is>
          <t>Beta Industry</t>
        </is>
      </c>
      <c r="D11" s="10" t="inlineStr">
        <is>
          <t>SaaS Premium</t>
        </is>
      </c>
      <c r="E11" s="13" t="n">
        <v>62000</v>
      </c>
      <c r="F11" s="6" t="n">
        <v>1350</v>
      </c>
      <c r="G11" s="6">
        <f>E11*F11</f>
        <v/>
      </c>
    </row>
    <row r="12" ht="20" customHeight="1">
      <c r="A12" s="3" t="inlineStr">
        <is>
          <t>OV-2025-009</t>
        </is>
      </c>
      <c r="B12" s="3" t="inlineStr">
        <is>
          <t>싱가포르</t>
        </is>
      </c>
      <c r="C12" s="9" t="inlineStr">
        <is>
          <t>Sg Nexus</t>
        </is>
      </c>
      <c r="D12" s="9" t="inlineStr">
        <is>
          <t>SaaS Standard</t>
        </is>
      </c>
      <c r="E12" s="12" t="n">
        <v>18000</v>
      </c>
      <c r="F12" s="4" t="n">
        <v>1358</v>
      </c>
      <c r="G12" s="4">
        <f>E12*F12</f>
        <v/>
      </c>
    </row>
    <row r="13" ht="20" customHeight="1">
      <c r="A13" s="5" t="inlineStr">
        <is>
          <t>OV-2025-010</t>
        </is>
      </c>
      <c r="B13" s="5" t="inlineStr">
        <is>
          <t>영국</t>
        </is>
      </c>
      <c r="C13" s="10" t="inlineStr">
        <is>
          <t>London Finance</t>
        </is>
      </c>
      <c r="D13" s="10" t="inlineStr">
        <is>
          <t>SaaS Premium</t>
        </is>
      </c>
      <c r="E13" s="13" t="n">
        <v>85000</v>
      </c>
      <c r="F13" s="6" t="n">
        <v>1360</v>
      </c>
      <c r="G13" s="6">
        <f>E13*F13</f>
        <v/>
      </c>
    </row>
    <row r="14" ht="20" customHeight="1">
      <c r="A14" s="3" t="inlineStr">
        <is>
          <t>OV-2025-011</t>
        </is>
      </c>
      <c r="B14" s="3" t="inlineStr">
        <is>
          <t>호주</t>
        </is>
      </c>
      <c r="C14" s="9" t="inlineStr">
        <is>
          <t>Sydney Infr</t>
        </is>
      </c>
      <c r="D14" s="9" t="inlineStr">
        <is>
          <t>Custom Engine</t>
        </is>
      </c>
      <c r="E14" s="12" t="n">
        <v>39000</v>
      </c>
      <c r="F14" s="4" t="n">
        <v>1362</v>
      </c>
      <c r="G14" s="4">
        <f>E14*F14</f>
        <v/>
      </c>
    </row>
    <row r="15" ht="20" customHeight="1">
      <c r="A15" s="5" t="inlineStr">
        <is>
          <t>OV-2025-012</t>
        </is>
      </c>
      <c r="B15" s="5" t="inlineStr">
        <is>
          <t>베트남</t>
        </is>
      </c>
      <c r="C15" s="10" t="inlineStr">
        <is>
          <t>Hanoi Tech</t>
        </is>
      </c>
      <c r="D15" s="10" t="inlineStr">
        <is>
          <t>SaaS Standard</t>
        </is>
      </c>
      <c r="E15" s="13" t="n">
        <v>14000</v>
      </c>
      <c r="F15" s="6" t="n">
        <v>1365</v>
      </c>
      <c r="G15" s="6">
        <f>E15*F15</f>
        <v/>
      </c>
    </row>
    <row r="16" ht="24" customHeight="1">
      <c r="A16" s="7" t="inlineStr">
        <is>
          <t>합 계</t>
        </is>
      </c>
      <c r="B16" s="11" t="n"/>
      <c r="C16" s="11" t="n"/>
      <c r="D16" s="11" t="n"/>
      <c r="E16" s="14">
        <f>SUM(E4:E15)</f>
        <v/>
      </c>
      <c r="F16" s="11" t="n"/>
      <c r="G16" s="8">
        <f>SUM(G4:G15)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2026-05-24T04:34:55Z</dcterms:created>
  <dcterms:modified xmlns:dcterms="http://purl.org/dc/terms/" xmlns:xsi="http://www.w3.org/2001/XMLSchema-instance" xsi:type="dcterms:W3CDTF">2026-05-24T04:34:55Z</dcterms:modified>
</cp:coreProperties>
</file>